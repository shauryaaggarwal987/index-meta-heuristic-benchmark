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2373cead109e7d/Desktop/PBL Research Papers/Benchmarking Code/"/>
    </mc:Choice>
  </mc:AlternateContent>
  <xr:revisionPtr revIDLastSave="103" documentId="8_{FEC45442-4FBC-4238-96CD-1EE13A564F61}" xr6:coauthVersionLast="47" xr6:coauthVersionMax="47" xr10:uidLastSave="{3D0322AB-3303-48C2-9F96-CDBAAAA4DFE2}"/>
  <bookViews>
    <workbookView xWindow="-108" yWindow="-108" windowWidth="23256" windowHeight="13896" activeTab="3" xr2:uid="{273C9AA7-F3E5-4055-A285-75E4A143C6B6}"/>
  </bookViews>
  <sheets>
    <sheet name="Baseline vs ABC" sheetId="1" r:id="rId1"/>
    <sheet name="Baseline vs PSO" sheetId="3" r:id="rId2"/>
    <sheet name="Baseline vs GWO" sheetId="6" r:id="rId3"/>
    <sheet name="Baseline vs PSO (2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5" l="1"/>
  <c r="E5" i="5"/>
  <c r="E5" i="6"/>
  <c r="C5" i="6"/>
  <c r="H5" i="5"/>
  <c r="D5" i="5"/>
  <c r="E5" i="3" l="1"/>
  <c r="C5" i="3"/>
</calcChain>
</file>

<file path=xl/sharedStrings.xml><?xml version="1.0" encoding="utf-8"?>
<sst xmlns="http://schemas.openxmlformats.org/spreadsheetml/2006/main" count="64" uniqueCount="23">
  <si>
    <t>Structure</t>
  </si>
  <si>
    <t>Baseline Build (ms)</t>
  </si>
  <si>
    <t>ABC Build (ms)</t>
  </si>
  <si>
    <t>Baseline Query (µs)</t>
  </si>
  <si>
    <t>ABC Query (µs)</t>
  </si>
  <si>
    <t>Baseline Build Memory (bytes)</t>
  </si>
  <si>
    <t>ABC Build Memory (bytes)</t>
  </si>
  <si>
    <t>ABC Query Loop Alloc (bytes)</t>
  </si>
  <si>
    <t>FQA</t>
  </si>
  <si>
    <t>BurstTrie</t>
  </si>
  <si>
    <t>QFastTrie</t>
  </si>
  <si>
    <t>TOTAL</t>
  </si>
  <si>
    <t>ABC Query Alloc per Lookup or per Query (bytes)</t>
  </si>
  <si>
    <t>cost = 1*build_sum + 5*query_sum + 0.001*mem_MB</t>
  </si>
  <si>
    <t xml:space="preserve">ABC = a guided search over (K, THR, Csize) that found K=4, THR=256, Csize=96, yielding ~73% faster build, ~25 KB less resident memory, </t>
  </si>
  <si>
    <t>and slightly slower BurstTrie queries, which is optimal for your current cost weights.</t>
  </si>
  <si>
    <t>PSO Build (ms)</t>
  </si>
  <si>
    <t>PSO Query (µs)</t>
  </si>
  <si>
    <t>PSO Build Memory (bytes)</t>
  </si>
  <si>
    <t xml:space="preserve">PSO = a guided search over (K, THR, Csize) that found K=4, THR=256, Csize=96, yielding ~73% faster build, ~25 KB less resident memory, </t>
  </si>
  <si>
    <t>GWO Build (ms)</t>
  </si>
  <si>
    <t>GWO Query (µs)</t>
  </si>
  <si>
    <t>GWO Build Memory (bytes)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</si>
</sst>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D2BA-EC2F-424F-916A-FE0347BB05AD}">
  <dimension ref="A1:I11"/>
  <sheetViews>
    <sheetView zoomScale="160" zoomScaleNormal="160" workbookViewId="0">
      <selection activeCell="G2" sqref="G2:G5"/>
    </sheetView>
  </sheetViews>
  <sheetFormatPr defaultRowHeight="14.4" x14ac:dyDescent="0.3"/>
  <cols>
    <col min="1" max="5" width="9.33203125" style="1" customWidth="1"/>
    <col min="6" max="6" width="16.5546875" style="1" customWidth="1"/>
    <col min="7" max="8" width="15.88671875" style="1" customWidth="1"/>
    <col min="9" max="9" width="17" style="1" customWidth="1"/>
    <col min="10" max="16384" width="8.88671875" style="1"/>
  </cols>
  <sheetData>
    <row r="1" spans="1:9" ht="51" customHeight="1" x14ac:dyDescent="0.3">
      <c r="A1" s="13" t="s">
        <v>0</v>
      </c>
      <c r="B1" s="2" t="s">
        <v>1</v>
      </c>
      <c r="C1" s="10" t="s">
        <v>2</v>
      </c>
      <c r="D1" s="2" t="s">
        <v>3</v>
      </c>
      <c r="E1" s="10" t="s">
        <v>4</v>
      </c>
      <c r="F1" s="2" t="s">
        <v>5</v>
      </c>
      <c r="G1" s="10" t="s">
        <v>6</v>
      </c>
      <c r="H1" s="2" t="s">
        <v>7</v>
      </c>
      <c r="I1" s="3" t="s">
        <v>12</v>
      </c>
    </row>
    <row r="2" spans="1:9" ht="33.6" customHeight="1" x14ac:dyDescent="0.3">
      <c r="A2" s="14" t="s">
        <v>8</v>
      </c>
      <c r="B2" s="1">
        <v>8.4879999999999995</v>
      </c>
      <c r="C2" s="11">
        <v>2.3016000000000001</v>
      </c>
      <c r="D2" s="1">
        <v>2.0030000000000001</v>
      </c>
      <c r="E2" s="7">
        <v>1.85547</v>
      </c>
      <c r="F2" s="1">
        <v>375472</v>
      </c>
      <c r="G2" s="7">
        <v>375424</v>
      </c>
      <c r="H2" s="1">
        <v>951312</v>
      </c>
      <c r="I2" s="4">
        <v>317.10399999999998</v>
      </c>
    </row>
    <row r="3" spans="1:9" ht="33.6" customHeight="1" x14ac:dyDescent="0.3">
      <c r="A3" s="14" t="s">
        <v>9</v>
      </c>
      <c r="B3" s="1">
        <v>2.0009999999999999</v>
      </c>
      <c r="C3" s="11">
        <v>0</v>
      </c>
      <c r="D3" s="1">
        <v>1.5</v>
      </c>
      <c r="E3" s="16">
        <v>1.9949566670000001</v>
      </c>
      <c r="F3" s="1">
        <v>224236</v>
      </c>
      <c r="G3" s="7">
        <v>204060</v>
      </c>
      <c r="H3" s="1">
        <v>14480</v>
      </c>
      <c r="I3" s="4">
        <v>4.8266666666666671</v>
      </c>
    </row>
    <row r="4" spans="1:9" ht="33.6" customHeight="1" x14ac:dyDescent="0.3">
      <c r="A4" s="14" t="s">
        <v>10</v>
      </c>
      <c r="B4" s="1">
        <v>0.999</v>
      </c>
      <c r="C4" s="11">
        <v>0.78800000000000003</v>
      </c>
      <c r="D4" s="1">
        <v>0</v>
      </c>
      <c r="E4" s="16">
        <v>0.37236666699999998</v>
      </c>
      <c r="F4" s="1">
        <v>94199</v>
      </c>
      <c r="G4" s="7">
        <v>89162</v>
      </c>
      <c r="H4" s="1">
        <v>0</v>
      </c>
      <c r="I4" s="4">
        <v>0</v>
      </c>
    </row>
    <row r="5" spans="1:9" ht="33.6" customHeight="1" thickBot="1" x14ac:dyDescent="0.35">
      <c r="A5" s="15" t="s">
        <v>11</v>
      </c>
      <c r="B5" s="5">
        <v>11.488</v>
      </c>
      <c r="C5" s="12">
        <v>3.0895999999999999</v>
      </c>
      <c r="D5" s="5">
        <v>3.5030000000000001</v>
      </c>
      <c r="E5" s="17">
        <v>4.2227933339999986</v>
      </c>
      <c r="F5" s="5">
        <v>693907</v>
      </c>
      <c r="G5" s="8">
        <v>668646</v>
      </c>
      <c r="H5" s="5">
        <v>965792</v>
      </c>
      <c r="I5" s="6">
        <v>321.93066666666658</v>
      </c>
    </row>
    <row r="8" spans="1:9" x14ac:dyDescent="0.3">
      <c r="B8" s="9" t="s">
        <v>13</v>
      </c>
    </row>
    <row r="10" spans="1:9" x14ac:dyDescent="0.3">
      <c r="A10" s="9" t="s">
        <v>14</v>
      </c>
    </row>
    <row r="11" spans="1:9" x14ac:dyDescent="0.3">
      <c r="B11" s="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4D43-6891-4E20-B441-1CC9AF5D85CA}">
  <dimension ref="A1:G11"/>
  <sheetViews>
    <sheetView zoomScale="160" zoomScaleNormal="160" workbookViewId="0">
      <selection sqref="A1:C4"/>
    </sheetView>
  </sheetViews>
  <sheetFormatPr defaultRowHeight="14.4" x14ac:dyDescent="0.3"/>
  <cols>
    <col min="1" max="5" width="9.33203125" style="1" customWidth="1"/>
    <col min="6" max="6" width="16.5546875" style="1" customWidth="1"/>
    <col min="7" max="7" width="15.88671875" style="1" customWidth="1"/>
    <col min="8" max="16384" width="8.88671875" style="1"/>
  </cols>
  <sheetData>
    <row r="1" spans="1:7" ht="51" customHeight="1" x14ac:dyDescent="0.3">
      <c r="A1" s="13" t="s">
        <v>0</v>
      </c>
      <c r="B1" s="2" t="s">
        <v>1</v>
      </c>
      <c r="C1" s="10" t="s">
        <v>16</v>
      </c>
      <c r="D1" s="2" t="s">
        <v>3</v>
      </c>
      <c r="E1" s="10" t="s">
        <v>17</v>
      </c>
      <c r="F1" s="2" t="s">
        <v>5</v>
      </c>
      <c r="G1" s="10" t="s">
        <v>18</v>
      </c>
    </row>
    <row r="2" spans="1:7" ht="33.6" customHeight="1" x14ac:dyDescent="0.3">
      <c r="A2" s="14" t="s">
        <v>8</v>
      </c>
      <c r="B2" s="1">
        <v>8.4879999999999995</v>
      </c>
      <c r="C2" s="11">
        <v>7.5060000000000002</v>
      </c>
      <c r="D2" s="1">
        <v>2.0030000000000001</v>
      </c>
      <c r="E2" s="16">
        <v>2.4954999999999998</v>
      </c>
      <c r="F2" s="1">
        <v>375472</v>
      </c>
      <c r="G2" s="1">
        <v>375472</v>
      </c>
    </row>
    <row r="3" spans="1:7" ht="33.6" customHeight="1" x14ac:dyDescent="0.3">
      <c r="A3" s="14" t="s">
        <v>9</v>
      </c>
      <c r="B3" s="1">
        <v>2.0009999999999999</v>
      </c>
      <c r="C3" s="11">
        <v>2.0169999999999999</v>
      </c>
      <c r="D3" s="1">
        <v>1.5</v>
      </c>
      <c r="E3" s="7">
        <v>0.50049999999999994</v>
      </c>
      <c r="F3" s="1">
        <v>224236</v>
      </c>
      <c r="G3" s="1">
        <v>224236</v>
      </c>
    </row>
    <row r="4" spans="1:7" ht="33.6" customHeight="1" x14ac:dyDescent="0.3">
      <c r="A4" s="14" t="s">
        <v>10</v>
      </c>
      <c r="B4" s="1">
        <v>0.999</v>
      </c>
      <c r="C4" s="11">
        <v>1.0129999999999999</v>
      </c>
      <c r="D4" s="1">
        <v>0</v>
      </c>
      <c r="E4" s="7">
        <v>0.4995</v>
      </c>
      <c r="F4" s="1">
        <v>94199</v>
      </c>
      <c r="G4" s="1">
        <v>94199</v>
      </c>
    </row>
    <row r="5" spans="1:7" ht="33.6" customHeight="1" thickBot="1" x14ac:dyDescent="0.35">
      <c r="A5" s="15" t="s">
        <v>11</v>
      </c>
      <c r="B5" s="5">
        <v>11.488</v>
      </c>
      <c r="C5" s="12">
        <f>SUM(C2:C4)</f>
        <v>10.536</v>
      </c>
      <c r="D5" s="5">
        <v>3.5030000000000001</v>
      </c>
      <c r="E5" s="17">
        <f>SUM(E2:E4)</f>
        <v>3.4954999999999994</v>
      </c>
      <c r="F5" s="5">
        <v>693907</v>
      </c>
      <c r="G5" s="5">
        <v>693907</v>
      </c>
    </row>
    <row r="8" spans="1:7" x14ac:dyDescent="0.3">
      <c r="B8" s="9" t="s">
        <v>13</v>
      </c>
    </row>
    <row r="10" spans="1:7" x14ac:dyDescent="0.3">
      <c r="A10" s="9" t="s">
        <v>19</v>
      </c>
    </row>
    <row r="11" spans="1:7" x14ac:dyDescent="0.3">
      <c r="B11" s="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C19F-5CDE-4FA2-9922-09C21BD0A570}">
  <dimension ref="A1:G11"/>
  <sheetViews>
    <sheetView zoomScale="160" zoomScaleNormal="160" workbookViewId="0">
      <selection activeCell="G1" sqref="G1:G5"/>
    </sheetView>
  </sheetViews>
  <sheetFormatPr defaultRowHeight="14.4" x14ac:dyDescent="0.3"/>
  <cols>
    <col min="1" max="5" width="9.33203125" style="1" customWidth="1"/>
    <col min="6" max="6" width="16.5546875" style="1" customWidth="1"/>
    <col min="7" max="7" width="15.88671875" style="1" customWidth="1"/>
    <col min="8" max="16384" width="8.88671875" style="1"/>
  </cols>
  <sheetData>
    <row r="1" spans="1:7" ht="51" customHeight="1" x14ac:dyDescent="0.3">
      <c r="A1" s="13" t="s">
        <v>0</v>
      </c>
      <c r="B1" s="2" t="s">
        <v>1</v>
      </c>
      <c r="C1" s="10" t="s">
        <v>20</v>
      </c>
      <c r="D1" s="2" t="s">
        <v>3</v>
      </c>
      <c r="E1" s="10" t="s">
        <v>21</v>
      </c>
      <c r="F1" s="2" t="s">
        <v>5</v>
      </c>
      <c r="G1" s="10" t="s">
        <v>22</v>
      </c>
    </row>
    <row r="2" spans="1:7" ht="33.6" customHeight="1" x14ac:dyDescent="0.3">
      <c r="A2" s="14" t="s">
        <v>8</v>
      </c>
      <c r="B2" s="1">
        <v>8.4879999999999995</v>
      </c>
      <c r="C2" s="11">
        <v>4.2430000000000003</v>
      </c>
      <c r="D2" s="1">
        <v>2.0030000000000001</v>
      </c>
      <c r="E2" s="7">
        <v>0</v>
      </c>
      <c r="F2" s="1">
        <v>375472</v>
      </c>
      <c r="G2" s="1">
        <v>375472</v>
      </c>
    </row>
    <row r="3" spans="1:7" ht="33.6" customHeight="1" x14ac:dyDescent="0.3">
      <c r="A3" s="14" t="s">
        <v>9</v>
      </c>
      <c r="B3" s="1">
        <v>2.0009999999999999</v>
      </c>
      <c r="C3" s="11">
        <v>0</v>
      </c>
      <c r="D3" s="1">
        <v>1.5</v>
      </c>
      <c r="E3" s="7">
        <v>0</v>
      </c>
      <c r="F3" s="1">
        <v>224236</v>
      </c>
      <c r="G3" s="1">
        <v>224236</v>
      </c>
    </row>
    <row r="4" spans="1:7" ht="33.6" customHeight="1" x14ac:dyDescent="0.3">
      <c r="A4" s="14" t="s">
        <v>10</v>
      </c>
      <c r="B4" s="1">
        <v>0.999</v>
      </c>
      <c r="C4" s="11">
        <v>0</v>
      </c>
      <c r="D4" s="1">
        <v>0</v>
      </c>
      <c r="E4" s="7">
        <v>0</v>
      </c>
      <c r="F4" s="1">
        <v>94199</v>
      </c>
      <c r="G4" s="1">
        <v>94199</v>
      </c>
    </row>
    <row r="5" spans="1:7" ht="33.6" customHeight="1" thickBot="1" x14ac:dyDescent="0.35">
      <c r="A5" s="15" t="s">
        <v>11</v>
      </c>
      <c r="B5" s="5">
        <v>11.488</v>
      </c>
      <c r="C5" s="12">
        <f>SUM(C2:C4)</f>
        <v>4.2430000000000003</v>
      </c>
      <c r="D5" s="5">
        <v>3.5030000000000001</v>
      </c>
      <c r="E5" s="8">
        <f>SUM(E2:E4)</f>
        <v>0</v>
      </c>
      <c r="F5" s="5">
        <v>693907</v>
      </c>
      <c r="G5" s="5">
        <v>693907</v>
      </c>
    </row>
    <row r="8" spans="1:7" x14ac:dyDescent="0.3">
      <c r="B8" s="9" t="s">
        <v>13</v>
      </c>
    </row>
    <row r="10" spans="1:7" x14ac:dyDescent="0.3">
      <c r="A10" s="9" t="s">
        <v>19</v>
      </c>
    </row>
    <row r="11" spans="1:7" x14ac:dyDescent="0.3">
      <c r="B11" s="9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BFF5-B547-4960-B94A-5C7EE02C854B}">
  <dimension ref="A1:M11"/>
  <sheetViews>
    <sheetView tabSelected="1" zoomScale="160" zoomScaleNormal="160" workbookViewId="0">
      <selection activeCell="B8" sqref="B8"/>
    </sheetView>
  </sheetViews>
  <sheetFormatPr defaultRowHeight="14.4" x14ac:dyDescent="0.3"/>
  <cols>
    <col min="1" max="7" width="9.33203125" style="1" customWidth="1"/>
    <col min="8" max="9" width="16.5546875" style="1" customWidth="1"/>
    <col min="10" max="10" width="15.88671875" style="1" customWidth="1"/>
    <col min="11" max="12" width="8.88671875" style="1"/>
    <col min="13" max="13" width="11.109375" style="1" customWidth="1"/>
    <col min="14" max="16384" width="8.88671875" style="1"/>
  </cols>
  <sheetData>
    <row r="1" spans="1:13" ht="51" customHeight="1" x14ac:dyDescent="0.3">
      <c r="A1" s="13" t="s">
        <v>0</v>
      </c>
      <c r="B1" s="2" t="s">
        <v>1</v>
      </c>
      <c r="C1" s="10" t="s">
        <v>2</v>
      </c>
      <c r="D1" s="10" t="s">
        <v>16</v>
      </c>
      <c r="E1" s="10" t="s">
        <v>20</v>
      </c>
      <c r="F1" s="2" t="s">
        <v>3</v>
      </c>
      <c r="G1" s="10" t="s">
        <v>4</v>
      </c>
      <c r="H1" s="10" t="s">
        <v>17</v>
      </c>
      <c r="I1" s="10" t="s">
        <v>21</v>
      </c>
      <c r="J1" s="2" t="s">
        <v>5</v>
      </c>
      <c r="K1" s="10" t="s">
        <v>6</v>
      </c>
      <c r="L1" s="10" t="s">
        <v>18</v>
      </c>
      <c r="M1" s="18" t="s">
        <v>22</v>
      </c>
    </row>
    <row r="2" spans="1:13" ht="33.6" customHeight="1" x14ac:dyDescent="0.3">
      <c r="A2" s="14" t="s">
        <v>8</v>
      </c>
      <c r="B2" s="1">
        <v>8.4879999999999995</v>
      </c>
      <c r="C2" s="7">
        <v>2.3016000000000001</v>
      </c>
      <c r="D2" s="7">
        <v>7.5060000000000002</v>
      </c>
      <c r="E2" s="7">
        <v>4.2430000000000003</v>
      </c>
      <c r="F2" s="1">
        <v>2.0030000000000001</v>
      </c>
      <c r="G2" s="7">
        <v>1.85547</v>
      </c>
      <c r="H2" s="16">
        <v>2.4954999999999998</v>
      </c>
      <c r="I2" s="7">
        <v>0</v>
      </c>
      <c r="J2" s="1">
        <v>375472</v>
      </c>
      <c r="K2" s="7">
        <v>375424</v>
      </c>
      <c r="L2" s="21">
        <v>375472</v>
      </c>
      <c r="M2" s="19">
        <v>375472</v>
      </c>
    </row>
    <row r="3" spans="1:13" ht="33.6" customHeight="1" x14ac:dyDescent="0.3">
      <c r="A3" s="14" t="s">
        <v>9</v>
      </c>
      <c r="B3" s="1">
        <v>2.0009999999999999</v>
      </c>
      <c r="C3" s="7">
        <v>0</v>
      </c>
      <c r="D3" s="16">
        <v>2.0169999999999999</v>
      </c>
      <c r="E3" s="7">
        <v>0</v>
      </c>
      <c r="F3" s="1">
        <v>1.5</v>
      </c>
      <c r="G3" s="16">
        <v>1.9949566670000001</v>
      </c>
      <c r="H3" s="7">
        <v>0.50049999999999994</v>
      </c>
      <c r="I3" s="7">
        <v>0</v>
      </c>
      <c r="J3" s="1">
        <v>224236</v>
      </c>
      <c r="K3" s="7">
        <v>204060</v>
      </c>
      <c r="L3" s="21">
        <v>224236</v>
      </c>
      <c r="M3" s="19">
        <v>224236</v>
      </c>
    </row>
    <row r="4" spans="1:13" ht="33.6" customHeight="1" x14ac:dyDescent="0.3">
      <c r="A4" s="14" t="s">
        <v>10</v>
      </c>
      <c r="B4" s="1">
        <v>0.999</v>
      </c>
      <c r="C4" s="7">
        <v>0.78800000000000003</v>
      </c>
      <c r="D4" s="16">
        <v>1.0129999999999999</v>
      </c>
      <c r="E4" s="7">
        <v>0</v>
      </c>
      <c r="F4" s="1">
        <v>0</v>
      </c>
      <c r="G4" s="16">
        <v>0.37236666699999998</v>
      </c>
      <c r="H4" s="16">
        <v>0.4995</v>
      </c>
      <c r="I4" s="7">
        <v>0</v>
      </c>
      <c r="J4" s="1">
        <v>94199</v>
      </c>
      <c r="K4" s="7">
        <v>89162</v>
      </c>
      <c r="L4" s="21">
        <v>94199</v>
      </c>
      <c r="M4" s="19">
        <v>94199</v>
      </c>
    </row>
    <row r="5" spans="1:13" ht="33.6" customHeight="1" thickBot="1" x14ac:dyDescent="0.35">
      <c r="A5" s="15" t="s">
        <v>11</v>
      </c>
      <c r="B5" s="5">
        <v>11.488</v>
      </c>
      <c r="C5" s="8">
        <v>3.0895999999999999</v>
      </c>
      <c r="D5" s="8">
        <f>SUM(D2:D4)</f>
        <v>10.536</v>
      </c>
      <c r="E5" s="8">
        <f>SUM(E2:E4)</f>
        <v>4.2430000000000003</v>
      </c>
      <c r="F5" s="5">
        <v>3.5030000000000001</v>
      </c>
      <c r="G5" s="17">
        <v>4.2227933339999986</v>
      </c>
      <c r="H5" s="8">
        <f>SUM(H2:H4)</f>
        <v>3.4954999999999994</v>
      </c>
      <c r="I5" s="8">
        <f>SUM(I2:I4)</f>
        <v>0</v>
      </c>
      <c r="J5" s="5">
        <v>693907</v>
      </c>
      <c r="K5" s="8">
        <v>668646</v>
      </c>
      <c r="L5" s="22">
        <v>693907</v>
      </c>
      <c r="M5" s="20">
        <v>693907</v>
      </c>
    </row>
    <row r="8" spans="1:13" x14ac:dyDescent="0.3">
      <c r="B8" s="9" t="s">
        <v>13</v>
      </c>
      <c r="C8" s="9"/>
    </row>
    <row r="10" spans="1:13" x14ac:dyDescent="0.3">
      <c r="A10" s="9" t="s">
        <v>19</v>
      </c>
    </row>
    <row r="11" spans="1:13" x14ac:dyDescent="0.3">
      <c r="B11" s="9" t="s">
        <v>15</v>
      </c>
      <c r="C1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 vs ABC</vt:lpstr>
      <vt:lpstr>Baseline vs PSO</vt:lpstr>
      <vt:lpstr>Baseline vs GWO</vt:lpstr>
      <vt:lpstr>Baseline vs PSO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Aggarwal</dc:creator>
  <cp:lastModifiedBy>Shaurya Aggarwal</cp:lastModifiedBy>
  <dcterms:created xsi:type="dcterms:W3CDTF">2025-10-04T04:59:40Z</dcterms:created>
  <dcterms:modified xsi:type="dcterms:W3CDTF">2025-11-20T16:47:14Z</dcterms:modified>
</cp:coreProperties>
</file>